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30dd709f1ac9ce/Documents/"/>
    </mc:Choice>
  </mc:AlternateContent>
  <xr:revisionPtr revIDLastSave="441" documentId="8_{ABC04089-7769-4E43-9915-B025B1F01043}" xr6:coauthVersionLast="47" xr6:coauthVersionMax="47" xr10:uidLastSave="{B5DC060B-2D91-4D39-846F-0451BF19587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2" r:id="rId2"/>
    <sheet name="PivotTable" sheetId="4" r:id="rId3"/>
    <sheet name="Dashboard" sheetId="3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<sst xmlns="http://schemas.openxmlformats.org/spreadsheetml/2006/main" count="16267" uniqueCount="51">
  <si>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</si>
  <si>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</si>
  <si>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</si>
  <si>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</si>
  <si>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</si>
  <si>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</si>
  <si>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</si>
  <si>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</si>
  <si>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</si>
  <si>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</si>
  <si>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</si>
  <si>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</si>
  <si>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</si>
  <si>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</si>
  <si>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</si>
  <si>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</si>
  <si>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</si>
  <si>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</si>
  <si>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</si>
  <si>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</si>
  <si>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</si>
  <si>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</si>
  <si>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</si>
  <si>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</si>
  <si>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</si>
  <si>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</si>
  <si>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</si>
  <si>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</si>
  <si>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</si>
  <si>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</si>
  <si>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</si>
  <si>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</si>
  <si>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</si>
  <si>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</si>
  <si>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</si>
  <si>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</si>
  <si>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</si>
  <si>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</si>
  <si>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</si>
  <si>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</si>
  <si>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</si>
  <si>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Row Labels</t>
  </si>
  <si>
    <t>Grand Total</t>
  </si>
  <si>
    <t>Average of Income</t>
  </si>
  <si>
    <t>Column Labels</t>
  </si>
  <si>
    <t>Count of Purchased Bike</t>
  </si>
  <si>
    <t>10 Miles +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</si>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</sst>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&quot;£&quot;#,##0"/>
    <numFmt numFmtId="170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20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Income Per Purchase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PivotTable!$B$5:$B$7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3-460E-87B2-A4C8C708AA3B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PivotTable!$C$5:$C$7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3-460E-87B2-A4C8C708A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032272"/>
        <c:axId val="1569041872"/>
      </c:barChart>
      <c:catAx>
        <c:axId val="15690322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41872"/>
        <c:crosses val="autoZero"/>
        <c:auto val="1"/>
        <c:lblAlgn val="ctr"/>
        <c:lblOffset val="100"/>
        <c:noMultiLvlLbl val="0"/>
      </c:catAx>
      <c:valAx>
        <c:axId val="15690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32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PivotTable!$B$26:$B$31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4-4169-8937-842AF6BCE314}"/>
            </c:ext>
          </c:extLst>
        </c:ser>
        <c:ser>
          <c:idx val="1"/>
          <c:order val="1"/>
          <c:tx>
            <c:strRef>
              <c:f>PivotTable!$C$24:$C$25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PivotTable!$C$26:$C$31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4-4169-8937-842AF6BCE31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999152"/>
        <c:axId val="1569003472"/>
      </c:lineChart>
      <c:catAx>
        <c:axId val="156899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03472"/>
        <c:crosses val="autoZero"/>
        <c:auto val="1"/>
        <c:lblAlgn val="ctr"/>
        <c:lblOffset val="100"/>
        <c:noMultiLvlLbl val="0"/>
      </c:catAx>
      <c:valAx>
        <c:axId val="15690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PivotTable!$B$43:$B$46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8-4471-8481-966A19F47294}"/>
            </c:ext>
          </c:extLst>
        </c:ser>
        <c:ser>
          <c:idx val="1"/>
          <c:order val="1"/>
          <c:tx>
            <c:strRef>
              <c:f>PivotTable!$C$41:$C$42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PivotTable!$C$43:$C$46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8-4471-8481-966A19F4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708432"/>
        <c:axId val="1235704592"/>
      </c:lineChart>
      <c:catAx>
        <c:axId val="123570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Age</a:t>
                </a:r>
                <a:r>
                  <a:rPr lang="en-GB" sz="1200" baseline="0"/>
                  <a:t> Bracket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4592"/>
        <c:crosses val="autoZero"/>
        <c:auto val="1"/>
        <c:lblAlgn val="ctr"/>
        <c:lblOffset val="100"/>
        <c:noMultiLvlLbl val="0"/>
      </c:catAx>
      <c:valAx>
        <c:axId val="12357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Income Per Purchase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PivotTable!$B$5:$B$7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2-4FA0-A08F-EE144DFA1A6D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PivotTable!$C$5:$C$7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2-4FA0-A08F-EE144DFA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032272"/>
        <c:axId val="1569041872"/>
      </c:barChart>
      <c:catAx>
        <c:axId val="15690322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41872"/>
        <c:crosses val="autoZero"/>
        <c:auto val="1"/>
        <c:lblAlgn val="ctr"/>
        <c:lblOffset val="100"/>
        <c:noMultiLvlLbl val="0"/>
      </c:catAx>
      <c:valAx>
        <c:axId val="156904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32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PivotTable!$B$26:$B$31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D-451D-BF68-ABDECEBA1F47}"/>
            </c:ext>
          </c:extLst>
        </c:ser>
        <c:ser>
          <c:idx val="1"/>
          <c:order val="1"/>
          <c:tx>
            <c:strRef>
              <c:f>PivotTable!$C$24:$C$25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PivotTable!$C$26:$C$31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FD-451D-BF68-ABDECEBA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999152"/>
        <c:axId val="1569003472"/>
      </c:lineChart>
      <c:catAx>
        <c:axId val="156899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03472"/>
        <c:crosses val="autoZero"/>
        <c:auto val="1"/>
        <c:lblAlgn val="ctr"/>
        <c:lblOffset val="100"/>
        <c:noMultiLvlLbl val="0"/>
      </c:catAx>
      <c:valAx>
        <c:axId val="15690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Project.xlsx]PivotTable!PivotTable3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PivotTable!$B$43:$B$46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7-4616-961B-D2B6227B7944}"/>
            </c:ext>
          </c:extLst>
        </c:ser>
        <c:ser>
          <c:idx val="1"/>
          <c:order val="1"/>
          <c:tx>
            <c:strRef>
              <c:f>PivotTable!$C$41:$C$42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PivotTable!$C$43:$C$46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E7-4616-961B-D2B6227B7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708432"/>
        <c:axId val="1235704592"/>
      </c:lineChart>
      <c:catAx>
        <c:axId val="123570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Age</a:t>
                </a:r>
                <a:r>
                  <a:rPr lang="en-GB" sz="1200" baseline="0"/>
                  <a:t> Bracket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4592"/>
        <c:crosses val="autoZero"/>
        <c:auto val="1"/>
        <c:lblAlgn val="ctr"/>
        <c:lblOffset val="100"/>
        <c:noMultiLvlLbl val="0"/>
      </c:catAx>
      <c:valAx>
        <c:axId val="12357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0</xdr:row>
      <xdr:rowOff>171450</xdr:rowOff>
    </xdr:from>
    <xdr:to>
      <xdr:col>14</xdr:col>
      <xdr:colOff>19050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4CE7A-31CD-890B-03DB-C70F905BB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300990</xdr:colOff>
      <xdr:row>21</xdr:row>
      <xdr:rowOff>171450</xdr:rowOff>
    </xdr:from>
    <xdr:to>
      <xdr:col>12</xdr:col>
      <xdr:colOff>605790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4757AB-9E41-CE92-4381-F4CEAECE1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582930</xdr:colOff>
      <xdr:row>38</xdr:row>
      <xdr:rowOff>179070</xdr:rowOff>
    </xdr:from>
    <xdr:to>
      <xdr:col>12</xdr:col>
      <xdr:colOff>278130</xdr:colOff>
      <xdr:row>53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6DB465-9063-BBF1-B0F2-7A1C43E75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476251</xdr:colOff>
      <xdr:row>5</xdr:row>
      <xdr:rowOff>9525</xdr:rowOff>
    </xdr:from>
    <xdr:to>
      <xdr:col>7</xdr:col>
      <xdr:colOff>552451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CC011-CF2E-42D4-9E4D-5AF226F1D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18</xdr:row>
      <xdr:rowOff>161925</xdr:rowOff>
    </xdr:from>
    <xdr:to>
      <xdr:col>12</xdr:col>
      <xdr:colOff>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C0D6D-AFD2-4350-A1A9-A9C08B337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533401</xdr:colOff>
      <xdr:row>5</xdr:row>
      <xdr:rowOff>9525</xdr:rowOff>
    </xdr:from>
    <xdr:to>
      <xdr:col>14</xdr:col>
      <xdr:colOff>590551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B59ED-8BC1-46A3-B100-38284AF0F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met Ekinci" refreshedDate="45939.816249768519" createdVersion="8" refreshedVersion="8" minRefreshableVersion="3" recordCount="1000" xr:uid="{9B5A6855-D3C8-4970-A7A0-D3548C34DBC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052466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4BCA6-15D3-4239-9D8D-A104F438F52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:D46" firstHeaderRow="1" firstDataRow="2" firstDataCol="1"/>
  <pivotFields count="14"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03AB4-AFBC-4B58-9856-4D2B62CE279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:D31" firstHeaderRow="1" firstDataRow="2" firstDataCol="1"/>
  <pivotFields count="14"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EA480-E246-4F54-8003-CEA2E70C396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70"/>
  </dataFields>
  <formats count="1">
    <format dxfId="2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1" sqref="J1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A804-4B6B-4029-A1C2-3A7AFFFBAE7B}">
  <dimension ref="A1:N1001"/>
  <sheetViews>
    <sheetView topLeftCell="B1" workbookViewId="0">
      <selection activeCell="M2" sqref="M2"/>
    </sheetView>
  </sheetViews>
  <sheetFormatPr defaultColWidth="17.21875" defaultRowHeight="14.4" x14ac:dyDescent="0.3"/>
  <cols>
    <col min="1" max="1" width="6" bestFit="1" customWidth="1"/>
    <col min="2" max="2" width="23.33203125" bestFit="1" customWidth="1"/>
    <col min="3" max="3" width="9.109375" bestFit="1" customWidth="1"/>
    <col min="4" max="4" width="9.33203125" style="3" bestFit="1" customWidth="1"/>
    <col min="5" max="5" width="9.88671875" bestFit="1" customWidth="1"/>
    <col min="6" max="6" width="16.21875" bestFit="1" customWidth="1"/>
    <col min="7" max="7" width="12.6640625" bestFit="1" customWidth="1"/>
    <col min="8" max="8" width="14" bestFit="1" customWidth="1"/>
    <col min="9" max="9" width="6.77734375" bestFit="1" customWidth="1"/>
    <col min="10" max="10" width="18.77734375" bestFit="1" customWidth="1"/>
    <col min="11" max="11" width="12.88671875" bestFit="1" customWidth="1"/>
    <col min="12" max="12" width="6.21875" bestFit="1" customWidth="1"/>
    <col min="13" max="13" width="13.6640625" bestFit="1" customWidth="1"/>
    <col min="14" max="14" width="15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Aged",IF(L2&lt;31,"Adolescent","Invalid")))</f>
        <v>Middle Aged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Aged",IF(L3&lt;31,"Adolescent","Invalid")))</f>
        <v>Middle Aged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Aged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Aged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Aged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Aged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Aged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Aged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Aged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Aged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Aged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Aged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Aged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Aged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Aged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Aged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Aged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Aged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Aged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Aged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Aged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Aged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Aged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Aged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Aged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Aged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Aged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Aged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Aged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Aged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Aged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Aged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Aged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Aged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Aged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Aged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Aged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Aged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Aged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Aged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Aged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Aged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Aged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Aged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Aged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Aged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Aged",IF(L67&lt;31,"Adolescent","Invalid")))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Aged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Aged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Aged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Aged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Aged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Aged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Aged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Aged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Aged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Aged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Aged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Aged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Aged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Aged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Aged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Aged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Aged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Aged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Aged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Aged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Aged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Aged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Aged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Aged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Aged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Aged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Aged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Aged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Aged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Aged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Aged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Aged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Aged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Aged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Aged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Aged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Aged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Aged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Aged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Aged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Aged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Aged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Aged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Aged",IF(L131&lt;31,"Adolescent","Invalid")))</f>
        <v>Middle Aged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Aged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Aged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Aged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Aged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Aged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Aged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Aged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Aged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Aged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Aged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Aged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Aged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Aged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Aged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Aged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Aged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Aged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Aged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Aged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Aged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Aged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Aged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Aged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Aged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Aged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Aged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Aged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Aged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Aged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Aged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Aged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Aged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Aged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Aged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Aged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Aged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Aged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Aged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Aged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Aged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Aged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Aged",IF(L195&lt;31,"Adolescent","Invalid")))</f>
        <v>Middle Aged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Aged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Aged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Aged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Aged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Aged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Aged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Aged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Aged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Aged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Aged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Aged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Aged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Aged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Aged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Aged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Aged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Aged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Aged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Aged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Aged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Aged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Aged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Aged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Aged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Aged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Aged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Aged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Aged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Aged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Aged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Aged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Aged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Aged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Aged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Aged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Aged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Aged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Aged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Aged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Aged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Aged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Aged",IF(L259&lt;31,"Adolescent","Invalid")))</f>
        <v>Middle Aged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Aged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Aged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Aged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Aged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Aged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Aged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Aged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Aged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Aged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Aged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Aged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Aged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Aged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Aged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Aged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Aged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Aged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Aged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Aged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Aged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Aged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Aged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Aged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Aged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Aged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Aged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Aged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Aged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Aged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Aged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Aged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Aged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Aged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Aged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Aged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Aged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Aged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Aged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Aged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Aged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Aged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Aged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Aged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Aged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Aged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Aged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Aged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Aged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Aged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Aged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Aged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Aged",IF(L323&lt;31,"Adolescent","Invalid")))</f>
        <v>Middle Aged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Aged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Aged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Aged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Aged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Aged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Aged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Aged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Aged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Aged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Aged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Aged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Aged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Aged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Aged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Aged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Aged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Aged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Aged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Aged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Aged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Aged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Aged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Aged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Aged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Aged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Aged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Aged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Aged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Aged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Aged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Aged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Aged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Aged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Aged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Aged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Aged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Aged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Aged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Aged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Aged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Aged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Aged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Aged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Aged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Aged",IF(L387&lt;31,"Adolescent","Invalid")))</f>
        <v>Middle Aged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Aged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Aged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Aged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Aged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Aged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Aged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Aged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Aged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Aged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Aged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Aged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Aged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Aged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Aged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Aged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Aged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Aged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Aged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Aged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Aged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Aged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Aged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Aged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Aged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Aged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Aged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Aged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Aged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Aged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Aged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Aged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Aged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Aged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Aged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Aged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Aged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Aged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Aged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Aged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Aged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Aged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Aged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Aged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Aged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Aged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Aged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Aged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Aged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Aged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Aged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Aged",IF(L451&lt;31,"Adolescent","Invalid")))</f>
        <v>Middle Aged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Aged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Aged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Aged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Aged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Aged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Aged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Aged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Aged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Aged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Aged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Aged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Aged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Aged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Aged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Aged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Aged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Aged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Aged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Aged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Aged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Aged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Aged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Aged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Aged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Aged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Aged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Aged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Aged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Aged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Aged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Aged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Aged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Aged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Aged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Aged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Aged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Aged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Aged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Aged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Aged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Aged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Aged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Aged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Aged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Aged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Aged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Aged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Aged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Aged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Aged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Aged",IF(L515&lt;31,"Adolescent","Invalid")))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Aged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Aged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Aged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Aged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Aged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Aged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Aged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Aged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Aged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Aged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Aged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Aged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Aged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Aged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Aged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Aged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Aged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Aged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Aged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Aged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Aged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Aged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Aged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Aged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Aged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Aged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Aged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Aged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Aged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Aged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Aged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Aged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Aged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Aged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Aged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Aged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Aged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Aged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Aged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Aged",IF(L579&lt;31,"Adolescent","Invalid")))</f>
        <v>Middle Aged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Aged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Aged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Aged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Aged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Aged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Aged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Aged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Aged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Aged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Aged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Aged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Aged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Aged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Aged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Aged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Aged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Aged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Aged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Aged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Aged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Aged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Aged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Aged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Aged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Aged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Aged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Aged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Aged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Aged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Aged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Aged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Aged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Aged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Aged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Aged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Aged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Aged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Aged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Aged",IF(L643&lt;31,"Adolescent","Invalid")))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Aged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Aged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Aged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Aged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Aged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Aged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Aged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Aged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Aged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Aged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Aged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Aged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Aged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Aged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Aged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Aged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Aged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Aged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Aged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Aged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Aged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Aged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Aged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Aged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Aged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Aged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Aged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Aged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Aged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Aged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Aged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Aged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Aged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Aged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Aged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Aged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Aged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Aged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Aged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Aged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Aged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Aged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Aged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Aged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Aged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Aged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Aged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Aged",IF(L707&lt;31,"Adolescent","Invalid")))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Aged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Aged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Aged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Aged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Aged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Aged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Aged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Aged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Aged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Aged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Aged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Aged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Aged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Aged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Aged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Aged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Aged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Aged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Aged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Aged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Aged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Aged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Aged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Aged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Aged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Aged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Aged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Aged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Aged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Aged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Aged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Aged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Aged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Aged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Aged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Aged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Aged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Aged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Aged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Aged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Aged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Aged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Aged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Aged",IF(L771&lt;31,"Adolescent","Invalid")))</f>
        <v>Middle Aged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Aged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Aged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Aged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Aged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Aged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Aged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Aged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Aged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Aged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Aged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Aged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Aged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Aged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Aged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Aged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Aged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Aged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Aged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Aged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Aged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Aged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Aged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Aged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Aged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Aged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Aged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Aged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Aged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Aged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Aged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Aged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Aged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Aged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Aged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Aged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Aged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Aged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Aged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Aged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Aged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Aged",IF(L835&lt;31,"Adolescent","Invalid")))</f>
        <v>Middle Aged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Aged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Aged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Aged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Aged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Aged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Aged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Aged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Aged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Aged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Aged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Aged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Aged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Aged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Aged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Aged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Aged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Aged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Aged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Aged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Aged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Aged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Aged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Aged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Aged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Aged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Aged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Aged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Aged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Aged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Aged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Aged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Aged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Aged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Aged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Aged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Aged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Aged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Aged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Aged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Aged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Aged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Aged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Aged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Aged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Aged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Aged",IF(L899&lt;31,"Adolescent","Invalid")))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Aged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Aged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Aged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Aged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Aged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Aged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Aged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Aged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Aged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Aged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Aged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Aged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Aged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Aged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Aged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Aged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Aged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Aged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Aged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Aged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Aged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Aged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Aged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Aged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Aged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Aged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Aged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Aged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Aged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Aged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Aged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Aged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Aged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Aged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Aged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Aged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Aged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Aged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Aged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Aged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Aged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Aged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Aged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Aged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Aged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Aged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Aged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Aged",IF(L963&lt;31,"Adolescent","Invalid")))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Aged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Aged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Aged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Aged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Aged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Aged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Aged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Aged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Aged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Aged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Aged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Aged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Aged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Aged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Aged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Aged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Aged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Aged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Aged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Aged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Aged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Aged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Aged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Aged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Aged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Aged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Aged</v>
      </c>
      <c r="N1001" t="s">
        <v>15</v>
      </c>
    </row>
  </sheetData>
  <autoFilter ref="A1:N1001" xr:uid="{C664A804-4B6B-4029-A1C2-3A7AFFFBAE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78E-6455-420B-AAAE-4742B6344023}">
  <dimension ref="A3:D46"/>
  <sheetViews>
    <sheetView zoomScale="85" zoomScaleNormal="85" workbookViewId="0">
      <selection activeCell="A58" sqref="A58"/>
    </sheetView>
  </sheetViews>
  <sheetFormatPr defaultRowHeight="14.4" x14ac:dyDescent="0.3"/>
  <cols>
    <col min="1" max="1" width="17.88671875" bestFit="1" customWidth="1"/>
    <col min="2" max="2" width="16.44140625" bestFit="1" customWidth="1"/>
    <col min="3" max="3" width="8" bestFit="1" customWidth="1"/>
    <col min="4" max="4" width="11.44140625" bestFit="1" customWidth="1"/>
  </cols>
  <sheetData>
    <row r="3" spans="1:4" x14ac:dyDescent="0.3">
      <c r="A3" s="4" t="s">
        <v>43</v>
      </c>
      <c r="B3" s="4" t="s">
        <v>44</v>
      </c>
    </row>
    <row r="4" spans="1:4" x14ac:dyDescent="0.3">
      <c r="A4" s="4" t="s">
        <v>41</v>
      </c>
      <c r="B4" t="s">
        <v>18</v>
      </c>
      <c r="C4" t="s">
        <v>15</v>
      </c>
      <c r="D4" t="s">
        <v>42</v>
      </c>
    </row>
    <row r="5" spans="1:4" x14ac:dyDescent="0.3">
      <c r="A5" s="5" t="s">
        <v>38</v>
      </c>
      <c r="B5" s="6">
        <v>53440</v>
      </c>
      <c r="C5" s="6">
        <v>55774.058577405856</v>
      </c>
      <c r="D5" s="6">
        <v>54580.777096114522</v>
      </c>
    </row>
    <row r="6" spans="1:4" x14ac:dyDescent="0.3">
      <c r="A6" s="5" t="s">
        <v>39</v>
      </c>
      <c r="B6" s="6">
        <v>56208.178438661707</v>
      </c>
      <c r="C6" s="6">
        <v>60123.966942148763</v>
      </c>
      <c r="D6" s="6">
        <v>58062.62230919765</v>
      </c>
    </row>
    <row r="7" spans="1:4" x14ac:dyDescent="0.3">
      <c r="A7" s="5" t="s">
        <v>42</v>
      </c>
      <c r="B7" s="6">
        <v>54874.759152215796</v>
      </c>
      <c r="C7" s="6">
        <v>57962.577962577961</v>
      </c>
      <c r="D7" s="6">
        <v>56360</v>
      </c>
    </row>
    <row r="24" spans="1:4" x14ac:dyDescent="0.3">
      <c r="A24" s="4" t="s">
        <v>45</v>
      </c>
      <c r="B24" s="4" t="s">
        <v>44</v>
      </c>
    </row>
    <row r="25" spans="1:4" x14ac:dyDescent="0.3">
      <c r="A25" s="4" t="s">
        <v>41</v>
      </c>
      <c r="B25" t="s">
        <v>18</v>
      </c>
      <c r="C25" t="s">
        <v>15</v>
      </c>
      <c r="D25" t="s">
        <v>42</v>
      </c>
    </row>
    <row r="26" spans="1:4" x14ac:dyDescent="0.3">
      <c r="A26" s="5" t="s">
        <v>16</v>
      </c>
      <c r="B26" s="7">
        <v>166</v>
      </c>
      <c r="C26" s="7">
        <v>200</v>
      </c>
      <c r="D26" s="7">
        <v>366</v>
      </c>
    </row>
    <row r="27" spans="1:4" x14ac:dyDescent="0.3">
      <c r="A27" s="5" t="s">
        <v>26</v>
      </c>
      <c r="B27" s="7">
        <v>92</v>
      </c>
      <c r="C27" s="7">
        <v>77</v>
      </c>
      <c r="D27" s="7">
        <v>169</v>
      </c>
    </row>
    <row r="28" spans="1:4" x14ac:dyDescent="0.3">
      <c r="A28" s="5" t="s">
        <v>22</v>
      </c>
      <c r="B28" s="7">
        <v>67</v>
      </c>
      <c r="C28" s="7">
        <v>95</v>
      </c>
      <c r="D28" s="7">
        <v>162</v>
      </c>
    </row>
    <row r="29" spans="1:4" x14ac:dyDescent="0.3">
      <c r="A29" s="5" t="s">
        <v>23</v>
      </c>
      <c r="B29" s="7">
        <v>116</v>
      </c>
      <c r="C29" s="7">
        <v>76</v>
      </c>
      <c r="D29" s="7">
        <v>192</v>
      </c>
    </row>
    <row r="30" spans="1:4" x14ac:dyDescent="0.3">
      <c r="A30" s="5" t="s">
        <v>46</v>
      </c>
      <c r="B30" s="7">
        <v>78</v>
      </c>
      <c r="C30" s="7">
        <v>33</v>
      </c>
      <c r="D30" s="7">
        <v>111</v>
      </c>
    </row>
    <row r="31" spans="1:4" x14ac:dyDescent="0.3">
      <c r="A31" s="5" t="s">
        <v>42</v>
      </c>
      <c r="B31" s="7">
        <v>519</v>
      </c>
      <c r="C31" s="7">
        <v>481</v>
      </c>
      <c r="D31" s="7">
        <v>1000</v>
      </c>
    </row>
    <row r="41" spans="1:4" x14ac:dyDescent="0.3">
      <c r="A41" s="4" t="s">
        <v>45</v>
      </c>
      <c r="B41" s="4" t="s">
        <v>44</v>
      </c>
    </row>
    <row r="42" spans="1:4" x14ac:dyDescent="0.3">
      <c r="A42" s="4" t="s">
        <v>41</v>
      </c>
      <c r="B42" t="s">
        <v>18</v>
      </c>
      <c r="C42" t="s">
        <v>15</v>
      </c>
      <c r="D42" t="s">
        <v>42</v>
      </c>
    </row>
    <row r="43" spans="1:4" x14ac:dyDescent="0.3">
      <c r="A43" s="5" t="s">
        <v>47</v>
      </c>
      <c r="B43" s="7">
        <v>71</v>
      </c>
      <c r="C43" s="7">
        <v>39</v>
      </c>
      <c r="D43" s="7">
        <v>110</v>
      </c>
    </row>
    <row r="44" spans="1:4" x14ac:dyDescent="0.3">
      <c r="A44" s="5" t="s">
        <v>48</v>
      </c>
      <c r="B44" s="7">
        <v>318</v>
      </c>
      <c r="C44" s="7">
        <v>383</v>
      </c>
      <c r="D44" s="7">
        <v>701</v>
      </c>
    </row>
    <row r="45" spans="1:4" x14ac:dyDescent="0.3">
      <c r="A45" s="5" t="s">
        <v>49</v>
      </c>
      <c r="B45" s="7">
        <v>130</v>
      </c>
      <c r="C45" s="7">
        <v>59</v>
      </c>
      <c r="D45" s="7">
        <v>189</v>
      </c>
    </row>
    <row r="46" spans="1:4" x14ac:dyDescent="0.3">
      <c r="A46" s="5" t="s">
        <v>42</v>
      </c>
      <c r="B46" s="7">
        <v>519</v>
      </c>
      <c r="C46" s="7">
        <v>481</v>
      </c>
      <c r="D46" s="7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FBC9-CEE1-42D1-886D-AC70B651D6DE}">
  <dimension ref="A1:Q5"/>
  <sheetViews>
    <sheetView showGridLines="0" tabSelected="1" zoomScale="80" zoomScaleNormal="80" workbookViewId="0">
      <selection activeCell="R20" sqref="R20"/>
    </sheetView>
  </sheetViews>
  <sheetFormatPr defaultRowHeight="14.4" x14ac:dyDescent="0.3"/>
  <sheetData>
    <row r="1" spans="1:17" ht="14.4" customHeight="1" x14ac:dyDescent="0.3">
      <c r="A1" s="9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7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7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7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Q5" s="8"/>
    </row>
  </sheetData>
  <mergeCells count="1">
    <mergeCell ref="A1:O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Ekinci</cp:lastModifiedBy>
  <dcterms:created xsi:type="dcterms:W3CDTF">2022-03-18T02:50:57Z</dcterms:created>
  <dcterms:modified xsi:type="dcterms:W3CDTF">2025-10-09T21:21:48Z</dcterms:modified>
</cp:coreProperties>
</file>